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si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<sst xmlns="http://schemas.openxmlformats.org/spreadsheetml/2006/main" count="50" uniqueCount="49">
  <si>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Compositions conseillées — à remplir</t>
  </si>
  <si>
    <t xml:space="preserve">À remplir : les cases jaunes, en bleu. Chaque ligne = un nombre de joueurs, chaque colonne = un rôle. Case vide = 0.</t>
  </si>
  <si>
    <t xml:space="preserve">Les lignes sont pré-remplies avec ce que l'application propose aujourd'hui : modifie, efface, ajoute.</t>
  </si>
  <si>
    <t xml:space="preserve">À droite, les contrôles se calculent seuls. « Écart » doit être à 0 (vert) : autant de cartes que de joueurs.</t>
  </si>
  <si>
    <t xml:space="preserve">Ne compte ni les 2 cartes du centre du Voleur (ajoutées seules en mode un seul téléphone), ni les 3 cartes du Comédien (elles viennent de la boîte).</t>
  </si>
  <si>
    <t xml:space="preserve">Une case rouge dans la grille : maximum du rôle dépassé, ou fratrie incomplète (Sœurs : 0 ou 2 · Frères : 0 ou 3).</t>
  </si>
  <si>
    <t xml:space="preserve">Loups-Garous</t>
  </si>
  <si>
    <t xml:space="preserve">Village</t>
  </si>
  <si>
    <t xml:space="preserve">Ambigus</t>
  </si>
  <si>
    <t xml:space="preserve">Solitaires</t>
  </si>
  <si>
    <t xml:space="preserve">Contrôles (calcul automatique)</t>
  </si>
  <si>
    <t xml:space="preserve">Joueurs</t>
  </si>
  <si>
    <t xml:space="preserve">Loup-Garou</t>
  </si>
  <si>
    <t xml:space="preserve">Infect Père des Loups</t>
  </si>
  <si>
    <t xml:space="preserve">Grand Méchant Loup</t>
  </si>
  <si>
    <t xml:space="preserve">Simple Villageois</t>
  </si>
  <si>
    <t xml:space="preserve">Voyante</t>
  </si>
  <si>
    <t xml:space="preserve">Sorcière</t>
  </si>
  <si>
    <t xml:space="preserve">Chasseur</t>
  </si>
  <si>
    <t xml:space="preserve">Cupidon</t>
  </si>
  <si>
    <t xml:space="preserve">Petite Fille</t>
  </si>
  <si>
    <t xml:space="preserve">Ancien</t>
  </si>
  <si>
    <t xml:space="preserve">Bouc Émissaire</t>
  </si>
  <si>
    <t xml:space="preserve">Idiot du Village</t>
  </si>
  <si>
    <t xml:space="preserve">Salvateur</t>
  </si>
  <si>
    <t xml:space="preserve">Montreur d'Ours</t>
  </si>
  <si>
    <t xml:space="preserve">Renard</t>
  </si>
  <si>
    <t xml:space="preserve">Les Deux Sœurs</t>
  </si>
  <si>
    <t xml:space="preserve">Les Trois Frères</t>
  </si>
  <si>
    <t xml:space="preserve">Juge Bègue</t>
  </si>
  <si>
    <t xml:space="preserve">Villageois-Villageois</t>
  </si>
  <si>
    <t xml:space="preserve">Chevalier à l'Épée Rouillée</t>
  </si>
  <si>
    <t xml:space="preserve">Magicien</t>
  </si>
  <si>
    <t xml:space="preserve">Voleur</t>
  </si>
  <si>
    <t xml:space="preserve">Enfant Sauvage</t>
  </si>
  <si>
    <t xml:space="preserve">Chien-Loup</t>
  </si>
  <si>
    <t xml:space="preserve">Servante Dévouée</t>
  </si>
  <si>
    <t xml:space="preserve">Comédien</t>
  </si>
  <si>
    <t xml:space="preserve">Joueur de Flûte</t>
  </si>
  <si>
    <t xml:space="preserve">Loup-Garou Blanc</t>
  </si>
  <si>
    <t xml:space="preserve">Abominable Sectaire</t>
  </si>
  <si>
    <t xml:space="preserve">Ange</t>
  </si>
  <si>
    <t xml:space="preserve">Total cartes</t>
  </si>
  <si>
    <t xml:space="preserve">Écart</t>
  </si>
  <si>
    <t xml:space="preserve">Côté Loups</t>
  </si>
  <si>
    <t xml:space="preserve">Part des Loups</t>
  </si>
  <si>
    <t xml:space="preserve">Simples Villageois</t>
  </si>
  <si>
    <t xml:space="preserve">Maximum</t>
  </si>
  <si>
    <t xml:space="preserve">illimité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</si>
</sst>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4D6D6"/>
        <bgColor rgb="FFEFE3C8"/>
      </patternFill>
    </fill>
    <fill>
      <patternFill patternType="solid">
        <fgColor rgb="FFDCEAD7"/>
        <bgColor rgb="FFEFE3C8"/>
      </patternFill>
    </fill>
    <fill>
      <patternFill patternType="solid">
        <fgColor rgb="FFEFE3C8"/>
        <bgColor rgb="FFF4D6D6"/>
      </patternFill>
    </fill>
    <fill>
      <patternFill patternType="solid">
        <fgColor rgb="FFDCD9EC"/>
        <bgColor rgb="FFD9D9D9"/>
      </patternFill>
    </fill>
    <fill>
      <patternFill patternType="solid">
        <fgColor rgb="FFD9D9D9"/>
        <bgColor rgb="FFDCD9EC"/>
      </patternFill>
    </fill>
    <fill>
      <patternFill patternType="solid">
        <fgColor rgb="FFF2F2F2"/>
        <bgColor rgb="FFFFF8D6"/>
      </patternFill>
    </fill>
    <fill>
      <patternFill patternType="solid">
        <fgColor rgb="FFFFF8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B6B6"/>
        </patternFill>
      </fill>
    </dxf>
    <dxf>
      <fill>
        <patternFill>
          <bgColor rgb="FFC6E7C4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6"/>
      <rgbColor rgb="FFC6E7C4"/>
      <rgbColor rgb="FF660066"/>
      <rgbColor rgb="FFFF8080"/>
      <rgbColor rgb="FF0066CC"/>
      <rgbColor rgb="FFDCD9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CEAD7"/>
      <rgbColor rgb="FFEFE3C8"/>
      <rgbColor rgb="FF99CCFF"/>
      <rgbColor rgb="FFF4D6D6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1" ySplit="10" topLeftCell="K11" activePane="bottomRight" state="frozen"/>
      <selection pane="topLeft" activeCell="A1" activeCellId="0" sqref="A1"/>
      <selection pane="topRight" activeCell="K1" activeCellId="0" sqref="K1"/>
      <selection pane="bottomLeft" activeCell="A11" activeCellId="0" sqref="A11"/>
      <selection pane="bottomRight" activeCell="AA35" activeCellId="0" sqref="AA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1" min="2" style="1" width="10"/>
    <col collapsed="false" customWidth="true" hidden="false" outlineLevel="0" max="36" min="32" style="1" width="11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8" customFormat="false" ht="15" hidden="false" customHeight="true" outlineLevel="0" collapsed="false">
      <c r="B8" s="4" t="s">
        <v>6</v>
      </c>
      <c r="C8" s="4"/>
      <c r="D8" s="4"/>
      <c r="E8" s="5" t="s">
        <v>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6" t="s">
        <v>8</v>
      </c>
      <c r="X8" s="6"/>
      <c r="Y8" s="6"/>
      <c r="Z8" s="6"/>
      <c r="AA8" s="6"/>
      <c r="AB8" s="7" t="s">
        <v>9</v>
      </c>
      <c r="AC8" s="7"/>
      <c r="AD8" s="7"/>
      <c r="AE8" s="7"/>
      <c r="AF8" s="8" t="s">
        <v>10</v>
      </c>
      <c r="AG8" s="8"/>
      <c r="AH8" s="8"/>
      <c r="AI8" s="8"/>
      <c r="AJ8" s="8"/>
    </row>
    <row r="9" customFormat="false" ht="42" hidden="false" customHeight="true" outlineLevel="0" collapsed="false">
      <c r="A9" s="9" t="s">
        <v>11</v>
      </c>
      <c r="B9" s="10" t="s">
        <v>12</v>
      </c>
      <c r="C9" s="10" t="s">
        <v>13</v>
      </c>
      <c r="D9" s="10" t="s">
        <v>14</v>
      </c>
      <c r="E9" s="11" t="s">
        <v>15</v>
      </c>
      <c r="F9" s="11" t="s">
        <v>16</v>
      </c>
      <c r="G9" s="11" t="s">
        <v>17</v>
      </c>
      <c r="H9" s="11" t="s">
        <v>18</v>
      </c>
      <c r="I9" s="11" t="s">
        <v>19</v>
      </c>
      <c r="J9" s="11" t="s">
        <v>20</v>
      </c>
      <c r="K9" s="11" t="s">
        <v>21</v>
      </c>
      <c r="L9" s="11" t="s">
        <v>22</v>
      </c>
      <c r="M9" s="11" t="s">
        <v>23</v>
      </c>
      <c r="N9" s="11" t="s">
        <v>24</v>
      </c>
      <c r="O9" s="11" t="s">
        <v>25</v>
      </c>
      <c r="P9" s="11" t="s">
        <v>26</v>
      </c>
      <c r="Q9" s="11" t="s">
        <v>27</v>
      </c>
      <c r="R9" s="11" t="s">
        <v>28</v>
      </c>
      <c r="S9" s="11" t="s">
        <v>29</v>
      </c>
      <c r="T9" s="11" t="s">
        <v>30</v>
      </c>
      <c r="U9" s="11" t="s">
        <v>31</v>
      </c>
      <c r="V9" s="11" t="s">
        <v>32</v>
      </c>
      <c r="W9" s="12" t="s">
        <v>33</v>
      </c>
      <c r="X9" s="12" t="s">
        <v>34</v>
      </c>
      <c r="Y9" s="12" t="s">
        <v>35</v>
      </c>
      <c r="Z9" s="12" t="s">
        <v>36</v>
      </c>
      <c r="AA9" s="12" t="s">
        <v>37</v>
      </c>
      <c r="AB9" s="13" t="s">
        <v>38</v>
      </c>
      <c r="AC9" s="13" t="s">
        <v>39</v>
      </c>
      <c r="AD9" s="13" t="s">
        <v>40</v>
      </c>
      <c r="AE9" s="13" t="s">
        <v>41</v>
      </c>
      <c r="AF9" s="14" t="s">
        <v>42</v>
      </c>
      <c r="AG9" s="14" t="s">
        <v>43</v>
      </c>
      <c r="AH9" s="14" t="s">
        <v>44</v>
      </c>
      <c r="AI9" s="14" t="s">
        <v>45</v>
      </c>
      <c r="AJ9" s="14" t="s">
        <v>46</v>
      </c>
    </row>
    <row r="10" customFormat="false" ht="15" hidden="false" customHeight="false" outlineLevel="0" collapsed="false">
      <c r="A10" s="15" t="s">
        <v>47</v>
      </c>
      <c r="B10" s="15" t="s">
        <v>48</v>
      </c>
      <c r="C10" s="15" t="n">
        <v>1</v>
      </c>
      <c r="D10" s="15" t="n">
        <v>1</v>
      </c>
      <c r="E10" s="15" t="s">
        <v>48</v>
      </c>
      <c r="F10" s="15" t="n">
        <v>1</v>
      </c>
      <c r="G10" s="15" t="n">
        <v>1</v>
      </c>
      <c r="H10" s="15" t="n">
        <v>1</v>
      </c>
      <c r="I10" s="15" t="n">
        <v>1</v>
      </c>
      <c r="J10" s="15" t="n">
        <v>1</v>
      </c>
      <c r="K10" s="15" t="n">
        <v>1</v>
      </c>
      <c r="L10" s="15" t="n">
        <v>1</v>
      </c>
      <c r="M10" s="15" t="n">
        <v>1</v>
      </c>
      <c r="N10" s="15" t="n">
        <v>1</v>
      </c>
      <c r="O10" s="15" t="n">
        <v>1</v>
      </c>
      <c r="P10" s="15" t="n">
        <v>1</v>
      </c>
      <c r="Q10" s="15" t="n">
        <v>2</v>
      </c>
      <c r="R10" s="15" t="n">
        <v>3</v>
      </c>
      <c r="S10" s="15" t="n">
        <v>1</v>
      </c>
      <c r="T10" s="15" t="n">
        <v>1</v>
      </c>
      <c r="U10" s="15" t="n">
        <v>1</v>
      </c>
      <c r="V10" s="15" t="n">
        <v>1</v>
      </c>
      <c r="W10" s="15" t="n">
        <v>1</v>
      </c>
      <c r="X10" s="15" t="n">
        <v>1</v>
      </c>
      <c r="Y10" s="15" t="n">
        <v>1</v>
      </c>
      <c r="Z10" s="15" t="n">
        <v>1</v>
      </c>
      <c r="AA10" s="15" t="n">
        <v>1</v>
      </c>
      <c r="AB10" s="15" t="n">
        <v>1</v>
      </c>
      <c r="AC10" s="15" t="n">
        <v>1</v>
      </c>
      <c r="AD10" s="15" t="n">
        <v>1</v>
      </c>
      <c r="AE10" s="15" t="n">
        <v>1</v>
      </c>
    </row>
    <row r="11" customFormat="false" ht="15" hidden="false" customHeight="false" outlineLevel="0" collapsed="false">
      <c r="A11" s="9" t="n">
        <v>7</v>
      </c>
      <c r="B11" s="16" t="n">
        <v>2</v>
      </c>
      <c r="C11" s="16"/>
      <c r="D11" s="16"/>
      <c r="E11" s="16"/>
      <c r="F11" s="16" t="n">
        <v>1</v>
      </c>
      <c r="G11" s="16" t="n">
        <v>1</v>
      </c>
      <c r="H11" s="16" t="n">
        <v>1</v>
      </c>
      <c r="I11" s="16" t="n">
        <v>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 t="n">
        <v>1</v>
      </c>
      <c r="X11" s="16"/>
      <c r="Y11" s="16"/>
      <c r="Z11" s="16"/>
      <c r="AA11" s="16"/>
      <c r="AB11" s="16"/>
      <c r="AC11" s="16"/>
      <c r="AD11" s="16"/>
      <c r="AE11" s="16"/>
      <c r="AF11" s="17" t="n">
        <f aca="false">SUM(B11:AE11)</f>
        <v>7</v>
      </c>
      <c r="AG11" s="18" t="n">
        <f aca="false">AF11-A11</f>
        <v>0</v>
      </c>
      <c r="AH11" s="17" t="n">
        <f aca="false">B11+C11+D11</f>
        <v>2</v>
      </c>
      <c r="AI11" s="19" t="n">
        <f aca="false">IF(A11=0,0,AH11/A11)</f>
        <v>0.285714285714286</v>
      </c>
      <c r="AJ11" s="17" t="n">
        <f aca="false">E11</f>
        <v>0</v>
      </c>
    </row>
    <row r="12" customFormat="false" ht="15" hidden="false" customHeight="false" outlineLevel="0" collapsed="false">
      <c r="A12" s="9" t="n">
        <v>8</v>
      </c>
      <c r="B12" s="16" t="n">
        <v>2</v>
      </c>
      <c r="C12" s="16"/>
      <c r="D12" s="16"/>
      <c r="E12" s="16"/>
      <c r="F12" s="16" t="n">
        <v>1</v>
      </c>
      <c r="G12" s="16" t="n">
        <v>1</v>
      </c>
      <c r="H12" s="16" t="n">
        <v>1</v>
      </c>
      <c r="I12" s="16" t="n">
        <v>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 t="n">
        <v>1</v>
      </c>
      <c r="X12" s="16"/>
      <c r="Y12" s="16"/>
      <c r="Z12" s="16"/>
      <c r="AA12" s="16" t="n">
        <v>1</v>
      </c>
      <c r="AB12" s="16"/>
      <c r="AC12" s="16"/>
      <c r="AD12" s="16"/>
      <c r="AE12" s="16"/>
      <c r="AF12" s="17" t="n">
        <f aca="false">SUM(B12:AE12)</f>
        <v>8</v>
      </c>
      <c r="AG12" s="18" t="n">
        <f aca="false">AF12-A12</f>
        <v>0</v>
      </c>
      <c r="AH12" s="17" t="n">
        <f aca="false">B12+C12+D12</f>
        <v>2</v>
      </c>
      <c r="AI12" s="19" t="n">
        <f aca="false">IF(A12=0,0,AH12/A12)</f>
        <v>0.25</v>
      </c>
      <c r="AJ12" s="17" t="n">
        <f aca="false">E12</f>
        <v>0</v>
      </c>
    </row>
    <row r="13" customFormat="false" ht="15" hidden="false" customHeight="false" outlineLevel="0" collapsed="false">
      <c r="A13" s="9" t="n">
        <v>9</v>
      </c>
      <c r="B13" s="16" t="n">
        <v>2</v>
      </c>
      <c r="C13" s="16"/>
      <c r="D13" s="16"/>
      <c r="E13" s="16"/>
      <c r="F13" s="16" t="n">
        <v>1</v>
      </c>
      <c r="G13" s="16" t="n">
        <v>1</v>
      </c>
      <c r="H13" s="16" t="n">
        <v>1</v>
      </c>
      <c r="I13" s="16" t="n">
        <v>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 t="n">
        <v>1</v>
      </c>
      <c r="X13" s="16"/>
      <c r="Y13" s="16"/>
      <c r="Z13" s="16"/>
      <c r="AA13" s="16" t="n">
        <v>1</v>
      </c>
      <c r="AB13" s="16" t="n">
        <v>1</v>
      </c>
      <c r="AC13" s="16"/>
      <c r="AD13" s="16"/>
      <c r="AE13" s="16"/>
      <c r="AF13" s="17" t="n">
        <f aca="false">SUM(B13:AE13)</f>
        <v>9</v>
      </c>
      <c r="AG13" s="18" t="n">
        <f aca="false">AF13-A13</f>
        <v>0</v>
      </c>
      <c r="AH13" s="17" t="n">
        <f aca="false">B13+C13+D13</f>
        <v>2</v>
      </c>
      <c r="AI13" s="19" t="n">
        <f aca="false">IF(A13=0,0,AH13/A13)</f>
        <v>0.222222222222222</v>
      </c>
      <c r="AJ13" s="17" t="n">
        <f aca="false">E13</f>
        <v>0</v>
      </c>
    </row>
    <row r="14" customFormat="false" ht="15" hidden="false" customHeight="false" outlineLevel="0" collapsed="false">
      <c r="A14" s="9" t="n">
        <v>10</v>
      </c>
      <c r="B14" s="16" t="n">
        <v>2</v>
      </c>
      <c r="C14" s="16"/>
      <c r="D14" s="16"/>
      <c r="E14" s="16"/>
      <c r="F14" s="16" t="n">
        <v>1</v>
      </c>
      <c r="G14" s="16" t="n">
        <v>1</v>
      </c>
      <c r="H14" s="16" t="n">
        <v>1</v>
      </c>
      <c r="I14" s="16" t="n">
        <v>1</v>
      </c>
      <c r="J14" s="16"/>
      <c r="K14" s="16"/>
      <c r="L14" s="16"/>
      <c r="M14" s="16"/>
      <c r="N14" s="16" t="n">
        <v>1</v>
      </c>
      <c r="O14" s="16"/>
      <c r="P14" s="16"/>
      <c r="Q14" s="16"/>
      <c r="R14" s="16"/>
      <c r="S14" s="16"/>
      <c r="T14" s="16"/>
      <c r="U14" s="16"/>
      <c r="V14" s="16"/>
      <c r="W14" s="16" t="n">
        <v>1</v>
      </c>
      <c r="X14" s="16"/>
      <c r="Y14" s="16"/>
      <c r="Z14" s="16" t="n">
        <v>1</v>
      </c>
      <c r="AA14" s="16" t="n">
        <v>1</v>
      </c>
      <c r="AB14" s="16"/>
      <c r="AC14" s="16"/>
      <c r="AD14" s="16"/>
      <c r="AE14" s="16"/>
      <c r="AF14" s="17" t="n">
        <f aca="false">SUM(B14:AE14)</f>
        <v>10</v>
      </c>
      <c r="AG14" s="18" t="n">
        <f aca="false">AF14-A14</f>
        <v>0</v>
      </c>
      <c r="AH14" s="17" t="n">
        <f aca="false">B14+C14+D14</f>
        <v>2</v>
      </c>
      <c r="AI14" s="19" t="n">
        <f aca="false">IF(A14=0,0,AH14/A14)</f>
        <v>0.2</v>
      </c>
      <c r="AJ14" s="17" t="n">
        <f aca="false">E14</f>
        <v>0</v>
      </c>
    </row>
    <row r="15" customFormat="false" ht="15" hidden="false" customHeight="false" outlineLevel="0" collapsed="false">
      <c r="A15" s="9" t="n">
        <v>11</v>
      </c>
      <c r="B15" s="16" t="n">
        <v>2</v>
      </c>
      <c r="C15" s="16"/>
      <c r="D15" s="16"/>
      <c r="E15" s="16"/>
      <c r="F15" s="16" t="n">
        <v>1</v>
      </c>
      <c r="G15" s="16" t="n">
        <v>1</v>
      </c>
      <c r="H15" s="16" t="n">
        <v>1</v>
      </c>
      <c r="I15" s="16" t="n">
        <v>1</v>
      </c>
      <c r="J15" s="16"/>
      <c r="K15" s="16"/>
      <c r="L15" s="16"/>
      <c r="M15" s="16"/>
      <c r="N15" s="16" t="n">
        <v>1</v>
      </c>
      <c r="O15" s="16"/>
      <c r="P15" s="16"/>
      <c r="Q15" s="16"/>
      <c r="R15" s="16"/>
      <c r="S15" s="16"/>
      <c r="T15" s="16"/>
      <c r="U15" s="16"/>
      <c r="V15" s="16"/>
      <c r="W15" s="16" t="n">
        <v>1</v>
      </c>
      <c r="X15" s="16"/>
      <c r="Y15" s="16"/>
      <c r="Z15" s="16" t="n">
        <v>1</v>
      </c>
      <c r="AA15" s="16" t="n">
        <v>1</v>
      </c>
      <c r="AB15" s="16" t="n">
        <v>1</v>
      </c>
      <c r="AC15" s="16"/>
      <c r="AD15" s="16"/>
      <c r="AE15" s="16"/>
      <c r="AF15" s="17" t="n">
        <f aca="false">SUM(B15:AE15)</f>
        <v>11</v>
      </c>
      <c r="AG15" s="18" t="n">
        <f aca="false">AF15-A15</f>
        <v>0</v>
      </c>
      <c r="AH15" s="17" t="n">
        <f aca="false">B15+C15+D15</f>
        <v>2</v>
      </c>
      <c r="AI15" s="19" t="n">
        <f aca="false">IF(A15=0,0,AH15/A15)</f>
        <v>0.181818181818182</v>
      </c>
      <c r="AJ15" s="17" t="n">
        <f aca="false">E15</f>
        <v>0</v>
      </c>
    </row>
    <row r="16" customFormat="false" ht="15" hidden="false" customHeight="false" outlineLevel="0" collapsed="false">
      <c r="A16" s="9" t="n">
        <v>12</v>
      </c>
      <c r="B16" s="16" t="n">
        <v>3</v>
      </c>
      <c r="C16" s="16" t="n">
        <v>1</v>
      </c>
      <c r="D16" s="16"/>
      <c r="E16" s="16"/>
      <c r="F16" s="16" t="n">
        <v>1</v>
      </c>
      <c r="G16" s="16" t="n">
        <v>1</v>
      </c>
      <c r="H16" s="16"/>
      <c r="I16" s="16" t="n">
        <v>1</v>
      </c>
      <c r="J16" s="16"/>
      <c r="K16" s="16"/>
      <c r="L16" s="16"/>
      <c r="M16" s="16"/>
      <c r="N16" s="16" t="n">
        <v>1</v>
      </c>
      <c r="O16" s="16"/>
      <c r="P16" s="16"/>
      <c r="Q16" s="16"/>
      <c r="R16" s="16"/>
      <c r="S16" s="16"/>
      <c r="T16" s="16"/>
      <c r="U16" s="16"/>
      <c r="V16" s="16" t="n">
        <v>1</v>
      </c>
      <c r="W16" s="16" t="n">
        <v>1</v>
      </c>
      <c r="X16" s="16"/>
      <c r="Y16" s="16"/>
      <c r="Z16" s="16"/>
      <c r="AA16" s="16" t="n">
        <v>1</v>
      </c>
      <c r="AB16" s="16" t="n">
        <v>1</v>
      </c>
      <c r="AC16" s="16"/>
      <c r="AD16" s="16"/>
      <c r="AE16" s="16"/>
      <c r="AF16" s="17" t="n">
        <f aca="false">SUM(B16:AE16)</f>
        <v>12</v>
      </c>
      <c r="AG16" s="18" t="n">
        <f aca="false">AF16-A16</f>
        <v>0</v>
      </c>
      <c r="AH16" s="17" t="n">
        <f aca="false">B16+C16+D16</f>
        <v>4</v>
      </c>
      <c r="AI16" s="19" t="n">
        <f aca="false">IF(A16=0,0,AH16/A16)</f>
        <v>0.333333333333333</v>
      </c>
      <c r="AJ16" s="17" t="n">
        <f aca="false">E16</f>
        <v>0</v>
      </c>
    </row>
    <row r="17" customFormat="false" ht="15" hidden="false" customHeight="false" outlineLevel="0" collapsed="false">
      <c r="A17" s="9" t="n">
        <v>13</v>
      </c>
      <c r="B17" s="16" t="n">
        <v>3</v>
      </c>
      <c r="C17" s="16" t="n">
        <v>1</v>
      </c>
      <c r="D17" s="16"/>
      <c r="E17" s="16"/>
      <c r="F17" s="16" t="n">
        <v>1</v>
      </c>
      <c r="G17" s="16" t="n">
        <v>1</v>
      </c>
      <c r="H17" s="16"/>
      <c r="I17" s="16" t="n">
        <v>1</v>
      </c>
      <c r="J17" s="16"/>
      <c r="K17" s="16"/>
      <c r="L17" s="16"/>
      <c r="M17" s="16"/>
      <c r="N17" s="16" t="n">
        <v>1</v>
      </c>
      <c r="O17" s="16"/>
      <c r="P17" s="16"/>
      <c r="Q17" s="16"/>
      <c r="R17" s="16"/>
      <c r="S17" s="16"/>
      <c r="T17" s="16"/>
      <c r="U17" s="16"/>
      <c r="V17" s="16" t="n">
        <v>1</v>
      </c>
      <c r="W17" s="16" t="n">
        <v>1</v>
      </c>
      <c r="X17" s="16" t="n">
        <v>1</v>
      </c>
      <c r="Y17" s="16"/>
      <c r="Z17" s="16"/>
      <c r="AA17" s="16" t="n">
        <v>1</v>
      </c>
      <c r="AB17" s="16" t="n">
        <v>1</v>
      </c>
      <c r="AC17" s="16"/>
      <c r="AD17" s="16"/>
      <c r="AE17" s="16"/>
      <c r="AF17" s="17" t="n">
        <f aca="false">SUM(B17:AE17)</f>
        <v>13</v>
      </c>
      <c r="AG17" s="18" t="n">
        <f aca="false">AF17-A17</f>
        <v>0</v>
      </c>
      <c r="AH17" s="17" t="n">
        <f aca="false">B17+C17+D17</f>
        <v>4</v>
      </c>
      <c r="AI17" s="19" t="n">
        <f aca="false">IF(A17=0,0,AH17/A17)</f>
        <v>0.307692307692308</v>
      </c>
      <c r="AJ17" s="17" t="n">
        <f aca="false">E17</f>
        <v>0</v>
      </c>
    </row>
    <row r="18" customFormat="false" ht="15" hidden="false" customHeight="false" outlineLevel="0" collapsed="false">
      <c r="A18" s="9" t="n">
        <v>14</v>
      </c>
      <c r="B18" s="16" t="n">
        <v>3</v>
      </c>
      <c r="C18" s="16" t="n">
        <v>1</v>
      </c>
      <c r="D18" s="16"/>
      <c r="E18" s="16"/>
      <c r="F18" s="16" t="n">
        <v>1</v>
      </c>
      <c r="G18" s="16" t="n">
        <v>1</v>
      </c>
      <c r="H18" s="16"/>
      <c r="I18" s="16" t="n">
        <v>1</v>
      </c>
      <c r="J18" s="16"/>
      <c r="K18" s="16"/>
      <c r="L18" s="16"/>
      <c r="M18" s="16"/>
      <c r="N18" s="16" t="n">
        <v>1</v>
      </c>
      <c r="O18" s="16"/>
      <c r="P18" s="16"/>
      <c r="Q18" s="16"/>
      <c r="R18" s="16"/>
      <c r="S18" s="16"/>
      <c r="T18" s="16"/>
      <c r="U18" s="16"/>
      <c r="V18" s="16" t="n">
        <v>1</v>
      </c>
      <c r="W18" s="16" t="n">
        <v>1</v>
      </c>
      <c r="X18" s="16" t="n">
        <v>1</v>
      </c>
      <c r="Y18" s="16" t="n">
        <v>1</v>
      </c>
      <c r="Z18" s="16" t="n">
        <v>1</v>
      </c>
      <c r="AA18" s="16" t="n">
        <v>1</v>
      </c>
      <c r="AB18" s="16" t="n">
        <v>1</v>
      </c>
      <c r="AC18" s="16" t="n">
        <v>1</v>
      </c>
      <c r="AD18" s="16"/>
      <c r="AE18" s="16" t="n">
        <v>1</v>
      </c>
      <c r="AF18" s="17" t="n">
        <f aca="false">SUM(B18:AE18)</f>
        <v>17</v>
      </c>
      <c r="AG18" s="18" t="n">
        <f aca="false">AF18-A18</f>
        <v>3</v>
      </c>
      <c r="AH18" s="17" t="n">
        <f aca="false">B18+C18+D18</f>
        <v>4</v>
      </c>
      <c r="AI18" s="19" t="n">
        <f aca="false">IF(A18=0,0,AH18/A18)</f>
        <v>0.285714285714286</v>
      </c>
      <c r="AJ18" s="17" t="n">
        <f aca="false">E18</f>
        <v>0</v>
      </c>
    </row>
    <row r="19" customFormat="false" ht="15" hidden="false" customHeight="false" outlineLevel="0" collapsed="false">
      <c r="A19" s="9" t="n">
        <v>15</v>
      </c>
      <c r="B19" s="16" t="n">
        <v>3</v>
      </c>
      <c r="C19" s="16" t="n">
        <v>1</v>
      </c>
      <c r="D19" s="16"/>
      <c r="E19" s="16"/>
      <c r="F19" s="16" t="n">
        <v>1</v>
      </c>
      <c r="G19" s="16" t="n">
        <v>1</v>
      </c>
      <c r="H19" s="16"/>
      <c r="I19" s="16" t="n">
        <v>1</v>
      </c>
      <c r="J19" s="16"/>
      <c r="K19" s="16"/>
      <c r="L19" s="16"/>
      <c r="M19" s="16"/>
      <c r="N19" s="16" t="n">
        <v>1</v>
      </c>
      <c r="O19" s="16"/>
      <c r="P19" s="16"/>
      <c r="Q19" s="16"/>
      <c r="R19" s="16"/>
      <c r="S19" s="16"/>
      <c r="T19" s="16"/>
      <c r="U19" s="16"/>
      <c r="V19" s="16" t="n">
        <v>1</v>
      </c>
      <c r="W19" s="16" t="n">
        <v>1</v>
      </c>
      <c r="X19" s="16" t="n">
        <v>1</v>
      </c>
      <c r="Y19" s="16" t="n">
        <v>1</v>
      </c>
      <c r="Z19" s="16" t="n">
        <v>1</v>
      </c>
      <c r="AA19" s="16" t="n">
        <v>1</v>
      </c>
      <c r="AB19" s="16" t="n">
        <v>1</v>
      </c>
      <c r="AC19" s="16" t="n">
        <v>1</v>
      </c>
      <c r="AD19" s="16" t="n">
        <v>1</v>
      </c>
      <c r="AE19" s="16" t="n">
        <v>1</v>
      </c>
      <c r="AF19" s="17" t="n">
        <f aca="false">SUM(B19:AE19)</f>
        <v>18</v>
      </c>
      <c r="AG19" s="18" t="n">
        <f aca="false">AF19-A19</f>
        <v>3</v>
      </c>
      <c r="AH19" s="17" t="n">
        <f aca="false">B19+C19+D19</f>
        <v>4</v>
      </c>
      <c r="AI19" s="19" t="n">
        <f aca="false">IF(A19=0,0,AH19/A19)</f>
        <v>0.266666666666667</v>
      </c>
      <c r="AJ19" s="17" t="n">
        <f aca="false">E19</f>
        <v>0</v>
      </c>
    </row>
    <row r="20" customFormat="false" ht="15" hidden="false" customHeight="false" outlineLevel="0" collapsed="false">
      <c r="A20" s="9" t="n">
        <v>16</v>
      </c>
      <c r="B20" s="16" t="n">
        <v>4</v>
      </c>
      <c r="C20" s="16" t="n">
        <v>1</v>
      </c>
      <c r="D20" s="16"/>
      <c r="E20" s="16"/>
      <c r="F20" s="16" t="n">
        <v>1</v>
      </c>
      <c r="G20" s="16" t="n">
        <v>1</v>
      </c>
      <c r="H20" s="16"/>
      <c r="I20" s="16" t="n">
        <v>1</v>
      </c>
      <c r="J20" s="16"/>
      <c r="K20" s="16"/>
      <c r="L20" s="16"/>
      <c r="M20" s="16"/>
      <c r="N20" s="16" t="n">
        <v>1</v>
      </c>
      <c r="O20" s="16"/>
      <c r="P20" s="16"/>
      <c r="Q20" s="16"/>
      <c r="R20" s="16"/>
      <c r="S20" s="16"/>
      <c r="T20" s="16"/>
      <c r="U20" s="16" t="n">
        <v>1</v>
      </c>
      <c r="V20" s="16" t="n">
        <v>1</v>
      </c>
      <c r="W20" s="16" t="n">
        <v>1</v>
      </c>
      <c r="X20" s="16" t="n">
        <v>1</v>
      </c>
      <c r="Y20" s="16" t="n">
        <v>1</v>
      </c>
      <c r="Z20" s="16" t="n">
        <v>1</v>
      </c>
      <c r="AA20" s="16" t="n">
        <v>1</v>
      </c>
      <c r="AB20" s="16" t="n">
        <v>1</v>
      </c>
      <c r="AC20" s="16" t="n">
        <v>1</v>
      </c>
      <c r="AD20" s="16" t="n">
        <v>1</v>
      </c>
      <c r="AE20" s="16" t="n">
        <v>1</v>
      </c>
      <c r="AF20" s="17" t="n">
        <f aca="false">SUM(B20:AE20)</f>
        <v>20</v>
      </c>
      <c r="AG20" s="18" t="n">
        <f aca="false">AF20-A20</f>
        <v>4</v>
      </c>
      <c r="AH20" s="17" t="n">
        <f aca="false">B20+C20+D20</f>
        <v>5</v>
      </c>
      <c r="AI20" s="19" t="n">
        <f aca="false">IF(A20=0,0,AH20/A20)</f>
        <v>0.3125</v>
      </c>
      <c r="AJ20" s="17" t="n">
        <f aca="false">E20</f>
        <v>0</v>
      </c>
    </row>
    <row r="21" customFormat="false" ht="15" hidden="false" customHeight="false" outlineLevel="0" collapsed="false">
      <c r="A21" s="9" t="n">
        <v>17</v>
      </c>
      <c r="B21" s="16" t="n">
        <v>4</v>
      </c>
      <c r="C21" s="16" t="n">
        <v>1</v>
      </c>
      <c r="D21" s="16"/>
      <c r="E21" s="16"/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/>
      <c r="L21" s="16"/>
      <c r="M21" s="16"/>
      <c r="N21" s="16" t="n">
        <v>1</v>
      </c>
      <c r="O21" s="16"/>
      <c r="P21" s="16"/>
      <c r="Q21" s="16"/>
      <c r="R21" s="16"/>
      <c r="S21" s="16"/>
      <c r="T21" s="16"/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1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1</v>
      </c>
      <c r="AF21" s="17" t="n">
        <f aca="false">SUM(B21:AE21)</f>
        <v>22</v>
      </c>
      <c r="AG21" s="18" t="n">
        <f aca="false">AF21-A21</f>
        <v>5</v>
      </c>
      <c r="AH21" s="17" t="n">
        <f aca="false">B21+C21+D21</f>
        <v>5</v>
      </c>
      <c r="AI21" s="19" t="n">
        <f aca="false">IF(A21=0,0,AH21/A21)</f>
        <v>0.294117647058824</v>
      </c>
      <c r="AJ21" s="17" t="n">
        <f aca="false">E21</f>
        <v>0</v>
      </c>
    </row>
    <row r="22" customFormat="false" ht="15" hidden="false" customHeight="false" outlineLevel="0" collapsed="false">
      <c r="A22" s="9" t="n">
        <v>18</v>
      </c>
      <c r="B22" s="16" t="n">
        <v>4</v>
      </c>
      <c r="C22" s="16" t="n">
        <v>1</v>
      </c>
      <c r="D22" s="16" t="n">
        <v>1</v>
      </c>
      <c r="E22" s="16"/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/>
      <c r="L22" s="16"/>
      <c r="M22" s="16"/>
      <c r="N22" s="16" t="n">
        <v>1</v>
      </c>
      <c r="O22" s="16" t="n">
        <v>1</v>
      </c>
      <c r="P22" s="16"/>
      <c r="Q22" s="16"/>
      <c r="R22" s="16"/>
      <c r="S22" s="16"/>
      <c r="T22" s="16"/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1</v>
      </c>
      <c r="Z22" s="16" t="n">
        <v>1</v>
      </c>
      <c r="AA22" s="16" t="n">
        <v>1</v>
      </c>
      <c r="AB22" s="16" t="n">
        <v>1</v>
      </c>
      <c r="AC22" s="16" t="n">
        <v>1</v>
      </c>
      <c r="AD22" s="16" t="n">
        <v>1</v>
      </c>
      <c r="AE22" s="16" t="n">
        <v>1</v>
      </c>
      <c r="AF22" s="17" t="n">
        <f aca="false">SUM(B22:AE22)</f>
        <v>24</v>
      </c>
      <c r="AG22" s="18" t="n">
        <f aca="false">AF22-A22</f>
        <v>6</v>
      </c>
      <c r="AH22" s="17" t="n">
        <f aca="false">B22+C22+D22</f>
        <v>6</v>
      </c>
      <c r="AI22" s="19" t="n">
        <f aca="false">IF(A22=0,0,AH22/A22)</f>
        <v>0.333333333333333</v>
      </c>
      <c r="AJ22" s="17" t="n">
        <f aca="false">E22</f>
        <v>0</v>
      </c>
    </row>
    <row r="23" customFormat="false" ht="15" hidden="false" customHeight="false" outlineLevel="0" collapsed="false">
      <c r="A23" s="9" t="n">
        <v>19</v>
      </c>
      <c r="B23" s="16" t="n">
        <v>4</v>
      </c>
      <c r="C23" s="16" t="n">
        <v>1</v>
      </c>
      <c r="D23" s="16" t="n">
        <v>1</v>
      </c>
      <c r="E23" s="16"/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/>
      <c r="L23" s="16"/>
      <c r="M23" s="16" t="n">
        <v>1</v>
      </c>
      <c r="N23" s="16" t="n">
        <v>1</v>
      </c>
      <c r="O23" s="16" t="n">
        <v>1</v>
      </c>
      <c r="P23" s="16"/>
      <c r="Q23" s="16"/>
      <c r="R23" s="16"/>
      <c r="S23" s="16"/>
      <c r="T23" s="16"/>
      <c r="U23" s="16" t="n">
        <v>1</v>
      </c>
      <c r="V23" s="16" t="n">
        <v>1</v>
      </c>
      <c r="W23" s="16" t="n">
        <v>1</v>
      </c>
      <c r="X23" s="16" t="n">
        <v>1</v>
      </c>
      <c r="Y23" s="16" t="n">
        <v>1</v>
      </c>
      <c r="Z23" s="16" t="n">
        <v>1</v>
      </c>
      <c r="AA23" s="16" t="n">
        <v>1</v>
      </c>
      <c r="AB23" s="16" t="n">
        <v>1</v>
      </c>
      <c r="AC23" s="16" t="n">
        <v>1</v>
      </c>
      <c r="AD23" s="16" t="n">
        <v>1</v>
      </c>
      <c r="AE23" s="16" t="n">
        <v>1</v>
      </c>
      <c r="AF23" s="17" t="n">
        <f aca="false">SUM(B23:AE23)</f>
        <v>25</v>
      </c>
      <c r="AG23" s="18" t="n">
        <f aca="false">AF23-A23</f>
        <v>6</v>
      </c>
      <c r="AH23" s="17" t="n">
        <f aca="false">B23+C23+D23</f>
        <v>6</v>
      </c>
      <c r="AI23" s="19" t="n">
        <f aca="false">IF(A23=0,0,AH23/A23)</f>
        <v>0.315789473684211</v>
      </c>
      <c r="AJ23" s="17" t="n">
        <f aca="false">E23</f>
        <v>0</v>
      </c>
    </row>
    <row r="24" customFormat="false" ht="15" hidden="false" customHeight="false" outlineLevel="0" collapsed="false">
      <c r="A24" s="9" t="n">
        <v>20</v>
      </c>
      <c r="B24" s="16" t="n">
        <v>5</v>
      </c>
      <c r="C24" s="16" t="n">
        <v>1</v>
      </c>
      <c r="D24" s="16" t="n">
        <v>1</v>
      </c>
      <c r="E24" s="16"/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/>
      <c r="L24" s="16"/>
      <c r="M24" s="16" t="n">
        <v>1</v>
      </c>
      <c r="N24" s="16" t="n">
        <v>1</v>
      </c>
      <c r="O24" s="16" t="n">
        <v>1</v>
      </c>
      <c r="P24" s="16"/>
      <c r="Q24" s="16"/>
      <c r="R24" s="16"/>
      <c r="S24" s="16" t="n">
        <v>1</v>
      </c>
      <c r="T24" s="16"/>
      <c r="U24" s="16" t="n">
        <v>1</v>
      </c>
      <c r="V24" s="16" t="n">
        <v>1</v>
      </c>
      <c r="W24" s="16" t="n">
        <v>1</v>
      </c>
      <c r="X24" s="16" t="n">
        <v>1</v>
      </c>
      <c r="Y24" s="16" t="n">
        <v>1</v>
      </c>
      <c r="Z24" s="16" t="n">
        <v>1</v>
      </c>
      <c r="AA24" s="16" t="n">
        <v>1</v>
      </c>
      <c r="AB24" s="16" t="n">
        <v>1</v>
      </c>
      <c r="AC24" s="16" t="n">
        <v>1</v>
      </c>
      <c r="AD24" s="16" t="n">
        <v>1</v>
      </c>
      <c r="AE24" s="16" t="n">
        <v>1</v>
      </c>
      <c r="AF24" s="17" t="n">
        <f aca="false">SUM(B24:AE24)</f>
        <v>27</v>
      </c>
      <c r="AG24" s="18" t="n">
        <f aca="false">AF24-A24</f>
        <v>7</v>
      </c>
      <c r="AH24" s="17" t="n">
        <f aca="false">B24+C24+D24</f>
        <v>7</v>
      </c>
      <c r="AI24" s="19" t="n">
        <f aca="false">IF(A24=0,0,AH24/A24)</f>
        <v>0.35</v>
      </c>
      <c r="AJ24" s="17" t="n">
        <f aca="false">E24</f>
        <v>0</v>
      </c>
    </row>
    <row r="25" customFormat="false" ht="15" hidden="false" customHeight="false" outlineLevel="0" collapsed="false">
      <c r="A25" s="9" t="n">
        <v>21</v>
      </c>
      <c r="B25" s="16" t="n">
        <v>5</v>
      </c>
      <c r="C25" s="16" t="n">
        <v>1</v>
      </c>
      <c r="D25" s="16" t="n">
        <v>1</v>
      </c>
      <c r="E25" s="16"/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/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2</v>
      </c>
      <c r="R25" s="16"/>
      <c r="S25" s="16" t="n">
        <v>1</v>
      </c>
      <c r="T25" s="16"/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  <c r="AA25" s="16"/>
      <c r="AB25" s="16" t="n">
        <v>1</v>
      </c>
      <c r="AC25" s="16" t="n">
        <v>1</v>
      </c>
      <c r="AD25" s="16" t="n">
        <v>1</v>
      </c>
      <c r="AE25" s="16" t="n">
        <v>1</v>
      </c>
      <c r="AF25" s="17" t="n">
        <f aca="false">SUM(B25:AE25)</f>
        <v>30</v>
      </c>
      <c r="AG25" s="18" t="n">
        <f aca="false">AF25-A25</f>
        <v>9</v>
      </c>
      <c r="AH25" s="17" t="n">
        <f aca="false">B25+C25+D25</f>
        <v>7</v>
      </c>
      <c r="AI25" s="19" t="n">
        <f aca="false">IF(A25=0,0,AH25/A25)</f>
        <v>0.333333333333333</v>
      </c>
      <c r="AJ25" s="17" t="n">
        <f aca="false">E25</f>
        <v>0</v>
      </c>
    </row>
    <row r="26" customFormat="false" ht="15" hidden="false" customHeight="false" outlineLevel="0" collapsed="false">
      <c r="A26" s="9" t="n">
        <v>22</v>
      </c>
      <c r="B26" s="16" t="n">
        <v>5</v>
      </c>
      <c r="C26" s="16" t="n">
        <v>1</v>
      </c>
      <c r="D26" s="16" t="n">
        <v>1</v>
      </c>
      <c r="E26" s="16"/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2</v>
      </c>
      <c r="R26" s="16"/>
      <c r="S26" s="16" t="n">
        <v>1</v>
      </c>
      <c r="T26" s="16"/>
      <c r="U26" s="16" t="n">
        <v>1</v>
      </c>
      <c r="V26" s="16" t="n">
        <v>1</v>
      </c>
      <c r="W26" s="16" t="n">
        <v>1</v>
      </c>
      <c r="X26" s="16" t="n">
        <v>1</v>
      </c>
      <c r="Y26" s="16" t="n">
        <v>1</v>
      </c>
      <c r="Z26" s="16" t="n">
        <v>1</v>
      </c>
      <c r="AA26" s="16"/>
      <c r="AB26" s="16" t="n">
        <v>1</v>
      </c>
      <c r="AC26" s="16" t="n">
        <v>1</v>
      </c>
      <c r="AD26" s="16" t="n">
        <v>1</v>
      </c>
      <c r="AE26" s="16" t="n">
        <v>1</v>
      </c>
      <c r="AF26" s="17" t="n">
        <f aca="false">SUM(B26:AE26)</f>
        <v>31</v>
      </c>
      <c r="AG26" s="18" t="n">
        <f aca="false">AF26-A26</f>
        <v>9</v>
      </c>
      <c r="AH26" s="17" t="n">
        <f aca="false">B26+C26+D26</f>
        <v>7</v>
      </c>
      <c r="AI26" s="19" t="n">
        <f aca="false">IF(A26=0,0,AH26/A26)</f>
        <v>0.318181818181818</v>
      </c>
      <c r="AJ26" s="17" t="n">
        <f aca="false">E26</f>
        <v>0</v>
      </c>
    </row>
    <row r="27" customFormat="false" ht="15" hidden="false" customHeight="false" outlineLevel="0" collapsed="false">
      <c r="A27" s="9" t="n">
        <v>23</v>
      </c>
      <c r="B27" s="16" t="n">
        <v>5</v>
      </c>
      <c r="C27" s="16" t="n">
        <v>1</v>
      </c>
      <c r="D27" s="16" t="n">
        <v>1</v>
      </c>
      <c r="E27" s="16"/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2</v>
      </c>
      <c r="R27" s="16"/>
      <c r="S27" s="16" t="n">
        <v>1</v>
      </c>
      <c r="T27" s="16"/>
      <c r="U27" s="16" t="n">
        <v>1</v>
      </c>
      <c r="V27" s="16" t="n">
        <v>1</v>
      </c>
      <c r="W27" s="16" t="n">
        <v>1</v>
      </c>
      <c r="X27" s="16" t="n">
        <v>1</v>
      </c>
      <c r="Y27" s="16" t="n">
        <v>1</v>
      </c>
      <c r="Z27" s="16" t="n">
        <v>1</v>
      </c>
      <c r="AA27" s="16"/>
      <c r="AB27" s="16" t="n">
        <v>1</v>
      </c>
      <c r="AC27" s="16" t="n">
        <v>1</v>
      </c>
      <c r="AD27" s="16" t="n">
        <v>1</v>
      </c>
      <c r="AE27" s="16" t="n">
        <v>1</v>
      </c>
      <c r="AF27" s="17" t="n">
        <f aca="false">SUM(B27:AE27)</f>
        <v>31</v>
      </c>
      <c r="AG27" s="18" t="n">
        <f aca="false">AF27-A27</f>
        <v>8</v>
      </c>
      <c r="AH27" s="17" t="n">
        <f aca="false">B27+C27+D27</f>
        <v>7</v>
      </c>
      <c r="AI27" s="19" t="n">
        <f aca="false">IF(A27=0,0,AH27/A27)</f>
        <v>0.304347826086957</v>
      </c>
      <c r="AJ27" s="17" t="n">
        <f aca="false">E27</f>
        <v>0</v>
      </c>
    </row>
    <row r="28" customFormat="false" ht="15" hidden="false" customHeight="false" outlineLevel="0" collapsed="false">
      <c r="A28" s="9" t="n">
        <v>24</v>
      </c>
      <c r="B28" s="16" t="n">
        <v>5</v>
      </c>
      <c r="C28" s="16" t="n">
        <v>1</v>
      </c>
      <c r="D28" s="16" t="n">
        <v>1</v>
      </c>
      <c r="E28" s="16"/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2</v>
      </c>
      <c r="R28" s="16" t="n">
        <v>3</v>
      </c>
      <c r="S28" s="16" t="n">
        <v>1</v>
      </c>
      <c r="T28" s="16"/>
      <c r="U28" s="16" t="n">
        <v>1</v>
      </c>
      <c r="V28" s="16" t="n">
        <v>1</v>
      </c>
      <c r="W28" s="16" t="n">
        <v>1</v>
      </c>
      <c r="X28" s="16" t="n">
        <v>1</v>
      </c>
      <c r="Y28" s="16" t="n">
        <v>1</v>
      </c>
      <c r="Z28" s="16" t="n">
        <v>1</v>
      </c>
      <c r="AA28" s="16"/>
      <c r="AB28" s="16" t="n">
        <v>1</v>
      </c>
      <c r="AC28" s="16" t="n">
        <v>1</v>
      </c>
      <c r="AD28" s="16" t="n">
        <v>1</v>
      </c>
      <c r="AE28" s="16" t="n">
        <v>1</v>
      </c>
      <c r="AF28" s="17" t="n">
        <f aca="false">SUM(B28:AE28)</f>
        <v>34</v>
      </c>
      <c r="AG28" s="18" t="n">
        <f aca="false">AF28-A28</f>
        <v>10</v>
      </c>
      <c r="AH28" s="17" t="n">
        <f aca="false">B28+C28+D28</f>
        <v>7</v>
      </c>
      <c r="AI28" s="19" t="n">
        <f aca="false">IF(A28=0,0,AH28/A28)</f>
        <v>0.291666666666667</v>
      </c>
      <c r="AJ28" s="17" t="n">
        <f aca="false">E28</f>
        <v>0</v>
      </c>
    </row>
    <row r="29" customFormat="false" ht="15" hidden="false" customHeight="false" outlineLevel="0" collapsed="false">
      <c r="A29" s="9" t="n">
        <v>25</v>
      </c>
      <c r="B29" s="16" t="n">
        <v>5</v>
      </c>
      <c r="C29" s="16" t="n">
        <v>1</v>
      </c>
      <c r="D29" s="16" t="n">
        <v>1</v>
      </c>
      <c r="E29" s="16"/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2</v>
      </c>
      <c r="R29" s="16" t="n">
        <v>3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  <c r="X29" s="16" t="n">
        <v>1</v>
      </c>
      <c r="Y29" s="16" t="n">
        <v>1</v>
      </c>
      <c r="Z29" s="16" t="n">
        <v>1</v>
      </c>
      <c r="AA29" s="16"/>
      <c r="AB29" s="16" t="n">
        <v>1</v>
      </c>
      <c r="AC29" s="16" t="n">
        <v>1</v>
      </c>
      <c r="AD29" s="16" t="n">
        <v>1</v>
      </c>
      <c r="AE29" s="16" t="n">
        <v>1</v>
      </c>
      <c r="AF29" s="17" t="n">
        <f aca="false">SUM(B29:AE29)</f>
        <v>35</v>
      </c>
      <c r="AG29" s="18" t="n">
        <f aca="false">AF29-A29</f>
        <v>10</v>
      </c>
      <c r="AH29" s="17" t="n">
        <f aca="false">B29+C29+D29</f>
        <v>7</v>
      </c>
      <c r="AI29" s="19" t="n">
        <f aca="false">IF(A29=0,0,AH29/A29)</f>
        <v>0.28</v>
      </c>
      <c r="AJ29" s="17" t="n">
        <f aca="false">E29</f>
        <v>0</v>
      </c>
    </row>
    <row r="30" customFormat="false" ht="15" hidden="false" customHeight="false" outlineLevel="0" collapsed="false">
      <c r="A30" s="9" t="n">
        <v>26</v>
      </c>
      <c r="B30" s="16" t="n">
        <v>5</v>
      </c>
      <c r="C30" s="16" t="n">
        <v>1</v>
      </c>
      <c r="D30" s="16" t="n">
        <v>1</v>
      </c>
      <c r="E30" s="16"/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2</v>
      </c>
      <c r="R30" s="16" t="n">
        <v>3</v>
      </c>
      <c r="S30" s="16" t="n">
        <v>1</v>
      </c>
      <c r="T30" s="16" t="n">
        <v>1</v>
      </c>
      <c r="U30" s="16" t="n">
        <v>1</v>
      </c>
      <c r="V30" s="16" t="n">
        <v>1</v>
      </c>
      <c r="W30" s="16" t="n">
        <v>1</v>
      </c>
      <c r="X30" s="16" t="n">
        <v>1</v>
      </c>
      <c r="Y30" s="16" t="n">
        <v>1</v>
      </c>
      <c r="Z30" s="16" t="n">
        <v>1</v>
      </c>
      <c r="AA30" s="16"/>
      <c r="AB30" s="16" t="n">
        <v>1</v>
      </c>
      <c r="AC30" s="16" t="n">
        <v>1</v>
      </c>
      <c r="AD30" s="16" t="n">
        <v>1</v>
      </c>
      <c r="AE30" s="16" t="n">
        <v>1</v>
      </c>
      <c r="AF30" s="17" t="n">
        <f aca="false">SUM(B30:AE30)</f>
        <v>35</v>
      </c>
      <c r="AG30" s="18" t="n">
        <f aca="false">AF30-A30</f>
        <v>9</v>
      </c>
      <c r="AH30" s="17" t="n">
        <f aca="false">B30+C30+D30</f>
        <v>7</v>
      </c>
      <c r="AI30" s="19" t="n">
        <f aca="false">IF(A30=0,0,AH30/A30)</f>
        <v>0.269230769230769</v>
      </c>
      <c r="AJ30" s="17" t="n">
        <f aca="false">E30</f>
        <v>0</v>
      </c>
    </row>
    <row r="31" customFormat="false" ht="15" hidden="false" customHeight="false" outlineLevel="0" collapsed="false">
      <c r="A31" s="9" t="n">
        <v>27</v>
      </c>
      <c r="B31" s="16" t="n">
        <v>5</v>
      </c>
      <c r="C31" s="16" t="n">
        <v>1</v>
      </c>
      <c r="D31" s="16" t="n">
        <v>1</v>
      </c>
      <c r="E31" s="16"/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2</v>
      </c>
      <c r="R31" s="16" t="n">
        <v>3</v>
      </c>
      <c r="S31" s="16" t="n">
        <v>1</v>
      </c>
      <c r="T31" s="16" t="n">
        <v>1</v>
      </c>
      <c r="U31" s="16" t="n">
        <v>1</v>
      </c>
      <c r="V31" s="16" t="n">
        <v>1</v>
      </c>
      <c r="W31" s="16" t="n">
        <v>1</v>
      </c>
      <c r="X31" s="16" t="n">
        <v>1</v>
      </c>
      <c r="Y31" s="16" t="n">
        <v>1</v>
      </c>
      <c r="Z31" s="16" t="n">
        <v>1</v>
      </c>
      <c r="AA31" s="16"/>
      <c r="AB31" s="16" t="n">
        <v>1</v>
      </c>
      <c r="AC31" s="16" t="n">
        <v>1</v>
      </c>
      <c r="AD31" s="16" t="n">
        <v>1</v>
      </c>
      <c r="AE31" s="16" t="n">
        <v>1</v>
      </c>
      <c r="AF31" s="17" t="n">
        <f aca="false">SUM(B31:AE31)</f>
        <v>35</v>
      </c>
      <c r="AG31" s="18" t="n">
        <f aca="false">AF31-A31</f>
        <v>8</v>
      </c>
      <c r="AH31" s="17" t="n">
        <f aca="false">B31+C31+D31</f>
        <v>7</v>
      </c>
      <c r="AI31" s="19" t="n">
        <f aca="false">IF(A31=0,0,AH31/A31)</f>
        <v>0.259259259259259</v>
      </c>
      <c r="AJ31" s="17" t="n">
        <f aca="false">E31</f>
        <v>0</v>
      </c>
    </row>
    <row r="32" customFormat="false" ht="15" hidden="false" customHeight="false" outlineLevel="0" collapsed="false">
      <c r="A32" s="9" t="n">
        <v>28</v>
      </c>
      <c r="B32" s="16" t="n">
        <v>5</v>
      </c>
      <c r="C32" s="16" t="n">
        <v>1</v>
      </c>
      <c r="D32" s="16" t="n">
        <v>1</v>
      </c>
      <c r="E32" s="16"/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2</v>
      </c>
      <c r="R32" s="16" t="n">
        <v>3</v>
      </c>
      <c r="S32" s="16" t="n">
        <v>1</v>
      </c>
      <c r="T32" s="16" t="n">
        <v>1</v>
      </c>
      <c r="U32" s="16" t="n">
        <v>1</v>
      </c>
      <c r="V32" s="16" t="n">
        <v>1</v>
      </c>
      <c r="W32" s="16" t="n">
        <v>1</v>
      </c>
      <c r="X32" s="16" t="n">
        <v>1</v>
      </c>
      <c r="Y32" s="16" t="n">
        <v>1</v>
      </c>
      <c r="Z32" s="16" t="n">
        <v>1</v>
      </c>
      <c r="AA32" s="16"/>
      <c r="AB32" s="16" t="n">
        <v>1</v>
      </c>
      <c r="AC32" s="16" t="n">
        <v>1</v>
      </c>
      <c r="AD32" s="16" t="n">
        <v>1</v>
      </c>
      <c r="AE32" s="16" t="n">
        <v>1</v>
      </c>
      <c r="AF32" s="17" t="n">
        <f aca="false">SUM(B32:AE32)</f>
        <v>35</v>
      </c>
      <c r="AG32" s="18" t="n">
        <f aca="false">AF32-A32</f>
        <v>7</v>
      </c>
      <c r="AH32" s="17" t="n">
        <f aca="false">B32+C32+D32</f>
        <v>7</v>
      </c>
      <c r="AI32" s="19" t="n">
        <f aca="false">IF(A32=0,0,AH32/A32)</f>
        <v>0.25</v>
      </c>
      <c r="AJ32" s="17" t="n">
        <f aca="false">E32</f>
        <v>0</v>
      </c>
    </row>
    <row r="33" customFormat="false" ht="15" hidden="false" customHeight="false" outlineLevel="0" collapsed="false">
      <c r="A33" s="9" t="n">
        <v>29</v>
      </c>
      <c r="B33" s="16" t="n">
        <v>5</v>
      </c>
      <c r="C33" s="16" t="n">
        <v>1</v>
      </c>
      <c r="D33" s="16" t="n">
        <v>1</v>
      </c>
      <c r="E33" s="16"/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2</v>
      </c>
      <c r="R33" s="16" t="n">
        <v>3</v>
      </c>
      <c r="S33" s="16" t="n">
        <v>1</v>
      </c>
      <c r="T33" s="16" t="n">
        <v>1</v>
      </c>
      <c r="U33" s="16" t="n">
        <v>1</v>
      </c>
      <c r="V33" s="16" t="n">
        <v>1</v>
      </c>
      <c r="W33" s="16" t="n">
        <v>1</v>
      </c>
      <c r="X33" s="16" t="n">
        <v>1</v>
      </c>
      <c r="Y33" s="16" t="n">
        <v>1</v>
      </c>
      <c r="Z33" s="16" t="n">
        <v>1</v>
      </c>
      <c r="AA33" s="16"/>
      <c r="AB33" s="16" t="n">
        <v>1</v>
      </c>
      <c r="AC33" s="16" t="n">
        <v>1</v>
      </c>
      <c r="AD33" s="16" t="n">
        <v>1</v>
      </c>
      <c r="AE33" s="16" t="n">
        <v>1</v>
      </c>
      <c r="AF33" s="17" t="n">
        <f aca="false">SUM(B33:AE33)</f>
        <v>35</v>
      </c>
      <c r="AG33" s="18" t="n">
        <f aca="false">AF33-A33</f>
        <v>6</v>
      </c>
      <c r="AH33" s="17" t="n">
        <f aca="false">B33+C33+D33</f>
        <v>7</v>
      </c>
      <c r="AI33" s="19" t="n">
        <f aca="false">IF(A33=0,0,AH33/A33)</f>
        <v>0.241379310344828</v>
      </c>
      <c r="AJ33" s="17" t="n">
        <f aca="false">E33</f>
        <v>0</v>
      </c>
    </row>
    <row r="34" customFormat="false" ht="15" hidden="false" customHeight="false" outlineLevel="0" collapsed="false">
      <c r="A34" s="9" t="n">
        <v>30</v>
      </c>
      <c r="B34" s="16" t="n">
        <v>5</v>
      </c>
      <c r="C34" s="16" t="n">
        <v>1</v>
      </c>
      <c r="D34" s="16" t="n">
        <v>1</v>
      </c>
      <c r="E34" s="16"/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2</v>
      </c>
      <c r="R34" s="16" t="n">
        <v>3</v>
      </c>
      <c r="S34" s="16" t="n">
        <v>1</v>
      </c>
      <c r="T34" s="16" t="n">
        <v>1</v>
      </c>
      <c r="U34" s="16" t="n">
        <v>1</v>
      </c>
      <c r="V34" s="16" t="n">
        <v>1</v>
      </c>
      <c r="W34" s="16" t="n">
        <v>1</v>
      </c>
      <c r="X34" s="16" t="n">
        <v>1</v>
      </c>
      <c r="Y34" s="16" t="n">
        <v>1</v>
      </c>
      <c r="Z34" s="16" t="n">
        <v>1</v>
      </c>
      <c r="AA34" s="16"/>
      <c r="AB34" s="16" t="n">
        <v>1</v>
      </c>
      <c r="AC34" s="16" t="n">
        <v>1</v>
      </c>
      <c r="AD34" s="16" t="n">
        <v>1</v>
      </c>
      <c r="AE34" s="16" t="n">
        <v>1</v>
      </c>
      <c r="AF34" s="17" t="n">
        <f aca="false">SUM(B34:AE34)</f>
        <v>35</v>
      </c>
      <c r="AG34" s="18" t="n">
        <f aca="false">AF34-A34</f>
        <v>5</v>
      </c>
      <c r="AH34" s="17" t="n">
        <f aca="false">B34+C34+D34</f>
        <v>7</v>
      </c>
      <c r="AI34" s="19" t="n">
        <f aca="false">IF(A34=0,0,AH34/A34)</f>
        <v>0.233333333333333</v>
      </c>
      <c r="AJ34" s="17" t="n">
        <f aca="false">E34</f>
        <v>0</v>
      </c>
    </row>
  </sheetData>
  <mergeCells count="5">
    <mergeCell ref="B8:D8"/>
    <mergeCell ref="E8:V8"/>
    <mergeCell ref="W8:AA8"/>
    <mergeCell ref="AB8:AE8"/>
    <mergeCell ref="AF8:AJ8"/>
  </mergeCells>
  <conditionalFormatting sqref="AG11:AG34">
    <cfRule type="expression" priority="2" aboveAverage="0" equalAverage="0" bottom="0" percent="0" rank="0" text="" dxfId="0">
      <formula>AG11&lt;&gt;0</formula>
    </cfRule>
    <cfRule type="expression" priority="3" aboveAverage="0" equalAverage="0" bottom="0" percent="0" rank="0" text="" dxfId="1">
      <formula>AG11=0</formula>
    </cfRule>
  </conditionalFormatting>
  <conditionalFormatting sqref="C11:C34">
    <cfRule type="expression" priority="4" aboveAverage="0" equalAverage="0" bottom="0" percent="0" rank="0" text="" dxfId="0">
      <formula>C11&gt;1</formula>
    </cfRule>
  </conditionalFormatting>
  <conditionalFormatting sqref="D11:D34">
    <cfRule type="expression" priority="5" aboveAverage="0" equalAverage="0" bottom="0" percent="0" rank="0" text="" dxfId="0">
      <formula>D11&gt;1</formula>
    </cfRule>
  </conditionalFormatting>
  <conditionalFormatting sqref="F11:F34">
    <cfRule type="expression" priority="6" aboveAverage="0" equalAverage="0" bottom="0" percent="0" rank="0" text="" dxfId="0">
      <formula>F11&gt;1</formula>
    </cfRule>
  </conditionalFormatting>
  <conditionalFormatting sqref="G11:G34">
    <cfRule type="expression" priority="7" aboveAverage="0" equalAverage="0" bottom="0" percent="0" rank="0" text="" dxfId="0">
      <formula>G11&gt;1</formula>
    </cfRule>
  </conditionalFormatting>
  <conditionalFormatting sqref="H11:H34">
    <cfRule type="expression" priority="8" aboveAverage="0" equalAverage="0" bottom="0" percent="0" rank="0" text="" dxfId="0">
      <formula>H11&gt;1</formula>
    </cfRule>
  </conditionalFormatting>
  <conditionalFormatting sqref="I11:I34">
    <cfRule type="expression" priority="9" aboveAverage="0" equalAverage="0" bottom="0" percent="0" rank="0" text="" dxfId="0">
      <formula>I11&gt;1</formula>
    </cfRule>
  </conditionalFormatting>
  <conditionalFormatting sqref="J11:J34">
    <cfRule type="expression" priority="10" aboveAverage="0" equalAverage="0" bottom="0" percent="0" rank="0" text="" dxfId="0">
      <formula>J11&gt;1</formula>
    </cfRule>
  </conditionalFormatting>
  <conditionalFormatting sqref="K11:K34">
    <cfRule type="expression" priority="11" aboveAverage="0" equalAverage="0" bottom="0" percent="0" rank="0" text="" dxfId="0">
      <formula>K11&gt;1</formula>
    </cfRule>
  </conditionalFormatting>
  <conditionalFormatting sqref="L11:L34">
    <cfRule type="expression" priority="12" aboveAverage="0" equalAverage="0" bottom="0" percent="0" rank="0" text="" dxfId="0">
      <formula>L11&gt;1</formula>
    </cfRule>
  </conditionalFormatting>
  <conditionalFormatting sqref="M11:M34">
    <cfRule type="expression" priority="13" aboveAverage="0" equalAverage="0" bottom="0" percent="0" rank="0" text="" dxfId="0">
      <formula>M11&gt;1</formula>
    </cfRule>
  </conditionalFormatting>
  <conditionalFormatting sqref="N11:N34">
    <cfRule type="expression" priority="14" aboveAverage="0" equalAverage="0" bottom="0" percent="0" rank="0" text="" dxfId="0">
      <formula>N11&gt;1</formula>
    </cfRule>
  </conditionalFormatting>
  <conditionalFormatting sqref="O11:O34">
    <cfRule type="expression" priority="15" aboveAverage="0" equalAverage="0" bottom="0" percent="0" rank="0" text="" dxfId="0">
      <formula>O11&gt;1</formula>
    </cfRule>
  </conditionalFormatting>
  <conditionalFormatting sqref="P11:P34">
    <cfRule type="expression" priority="16" aboveAverage="0" equalAverage="0" bottom="0" percent="0" rank="0" text="" dxfId="0">
      <formula>P11&gt;1</formula>
    </cfRule>
  </conditionalFormatting>
  <conditionalFormatting sqref="Q11:Q34">
    <cfRule type="expression" priority="17" aboveAverage="0" equalAverage="0" bottom="0" percent="0" rank="0" text="" dxfId="0">
      <formula>AND(Q11&lt;&gt;"",Q11&lt;&gt;0,Q11&lt;&gt;2)</formula>
    </cfRule>
  </conditionalFormatting>
  <conditionalFormatting sqref="R11:R34">
    <cfRule type="expression" priority="18" aboveAverage="0" equalAverage="0" bottom="0" percent="0" rank="0" text="" dxfId="0">
      <formula>AND(R11&lt;&gt;"",R11&lt;&gt;0,R11&lt;&gt;3)</formula>
    </cfRule>
  </conditionalFormatting>
  <conditionalFormatting sqref="S11:S34">
    <cfRule type="expression" priority="19" aboveAverage="0" equalAverage="0" bottom="0" percent="0" rank="0" text="" dxfId="0">
      <formula>S11&gt;1</formula>
    </cfRule>
  </conditionalFormatting>
  <conditionalFormatting sqref="T11:T34">
    <cfRule type="expression" priority="20" aboveAverage="0" equalAverage="0" bottom="0" percent="0" rank="0" text="" dxfId="0">
      <formula>T11&gt;1</formula>
    </cfRule>
  </conditionalFormatting>
  <conditionalFormatting sqref="U11:U34">
    <cfRule type="expression" priority="21" aboveAverage="0" equalAverage="0" bottom="0" percent="0" rank="0" text="" dxfId="0">
      <formula>U11&gt;1</formula>
    </cfRule>
  </conditionalFormatting>
  <conditionalFormatting sqref="W11:W34">
    <cfRule type="expression" priority="22" aboveAverage="0" equalAverage="0" bottom="0" percent="0" rank="0" text="" dxfId="0">
      <formula>W11&gt;1</formula>
    </cfRule>
  </conditionalFormatting>
  <conditionalFormatting sqref="X11:X34">
    <cfRule type="expression" priority="23" aboveAverage="0" equalAverage="0" bottom="0" percent="0" rank="0" text="" dxfId="0">
      <formula>X11&gt;1</formula>
    </cfRule>
  </conditionalFormatting>
  <conditionalFormatting sqref="Y11:Y34">
    <cfRule type="expression" priority="24" aboveAverage="0" equalAverage="0" bottom="0" percent="0" rank="0" text="" dxfId="0">
      <formula>Y11&gt;1</formula>
    </cfRule>
  </conditionalFormatting>
  <conditionalFormatting sqref="Z11:Z34">
    <cfRule type="expression" priority="25" aboveAverage="0" equalAverage="0" bottom="0" percent="0" rank="0" text="" dxfId="0">
      <formula>Z11&gt;1</formula>
    </cfRule>
  </conditionalFormatting>
  <conditionalFormatting sqref="AA11:AA34">
    <cfRule type="expression" priority="26" aboveAverage="0" equalAverage="0" bottom="0" percent="0" rank="0" text="" dxfId="0">
      <formula>AA11&gt;1</formula>
    </cfRule>
  </conditionalFormatting>
  <conditionalFormatting sqref="AB11:AB34 AD14:AD34">
    <cfRule type="expression" priority="27" aboveAverage="0" equalAverage="0" bottom="0" percent="0" rank="0" text="" dxfId="0">
      <formula>AB11&gt;1</formula>
    </cfRule>
  </conditionalFormatting>
  <conditionalFormatting sqref="AC11:AC34">
    <cfRule type="expression" priority="28" aboveAverage="0" equalAverage="0" bottom="0" percent="0" rank="0" text="" dxfId="0">
      <formula>AC11&gt;1</formula>
    </cfRule>
  </conditionalFormatting>
  <conditionalFormatting sqref="AD11:AD13">
    <cfRule type="expression" priority="29" aboveAverage="0" equalAverage="0" bottom="0" percent="0" rank="0" text="" dxfId="0">
      <formula>AD11&gt;1</formula>
    </cfRule>
  </conditionalFormatting>
  <conditionalFormatting sqref="AE11:AE34">
    <cfRule type="expression" priority="30" aboveAverage="0" equalAverage="0" bottom="0" percent="0" rank="0" text="" dxfId="0">
      <formula>AE11&gt;1</formula>
    </cfRule>
  </conditionalFormatting>
  <conditionalFormatting sqref="V11 V18:V34">
    <cfRule type="expression" priority="31" aboveAverage="0" equalAverage="0" bottom="0" percent="0" rank="0" text="" dxfId="0">
      <formula>V11&gt;1</formula>
    </cfRule>
  </conditionalFormatting>
  <conditionalFormatting sqref="V12:V34">
    <cfRule type="expression" priority="32" aboveAverage="0" equalAverage="0" bottom="0" percent="0" rank="0" text="" dxfId="0">
      <formula>V12&gt;1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2026-09-26T15:36:26Z</dcterms:created>
  <dc:creator>openpyxl</dc:creator>
  <dc:description/>
  <dc:language>en-US</dc:language>
  <cp:lastModifiedBy/>
  <dcterms:modified xsi:type="dcterms:W3CDTF">2026-09-26T18:25:56Z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